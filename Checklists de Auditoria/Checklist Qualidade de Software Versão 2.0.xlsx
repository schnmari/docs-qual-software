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bianca_franca_pucpr_edu_br/Documents/"/>
    </mc:Choice>
  </mc:AlternateContent>
  <xr:revisionPtr revIDLastSave="0" documentId="8_{EE9EA8E5-5447-2142-9C0F-4892EC9A8AD4}" xr6:coauthVersionLast="47" xr6:coauthVersionMax="47" xr10:uidLastSave="{00000000-0000-0000-0000-000000000000}"/>
  <bookViews>
    <workbookView xWindow="0" yWindow="660" windowWidth="29400" windowHeight="18460" xr2:uid="{E2F7F01F-D00C-4572-A69A-F57145CBDE3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C38" i="1"/>
  <c r="C37" i="1"/>
  <c r="C36" i="1"/>
  <c r="C35" i="1"/>
</calcChain>
</file>

<file path=xl/sharedStrings.xml><?xml version="1.0" encoding="utf-8"?>
<sst xmlns="http://schemas.openxmlformats.org/spreadsheetml/2006/main" count="67" uniqueCount="66">
  <si>
    <t>Nº</t>
  </si>
  <si>
    <t>Descrição</t>
  </si>
  <si>
    <t>Resultado</t>
  </si>
  <si>
    <t>Data e Hora
da
Identificação
da NC</t>
  </si>
  <si>
    <t>Responsavel
pela
resolução</t>
  </si>
  <si>
    <t>Clasificação
da NCF</t>
  </si>
  <si>
    <t>Ação 
corretiva
indicada</t>
  </si>
  <si>
    <t>Data
prevista da
resolução</t>
  </si>
  <si>
    <t>Data e hora do 
Escalonamento</t>
  </si>
  <si>
    <t>Data e 
Hora da conclusão
da NC</t>
  </si>
  <si>
    <t>Status da NC</t>
  </si>
  <si>
    <t>O documento apresenta o nome da equipe?</t>
  </si>
  <si>
    <t>Advertencia</t>
  </si>
  <si>
    <t>Aderência</t>
  </si>
  <si>
    <t>O documento lista o nome completo de todos os integrantes que participaram do trabalho?</t>
  </si>
  <si>
    <t>O documento descreve o tema da aplicação?</t>
  </si>
  <si>
    <t>Baixa</t>
  </si>
  <si>
    <t>O documento explica o problema que o sistema se propõe a resolver?</t>
  </si>
  <si>
    <t>O documento apresenta os objetivos do sistema?</t>
  </si>
  <si>
    <t>Alta</t>
  </si>
  <si>
    <t>A lista de requisitos funcionais está numerada?</t>
  </si>
  <si>
    <t>Urgente</t>
  </si>
  <si>
    <t>O documento possui aproximadamente 20 requisitos funcionais?</t>
  </si>
  <si>
    <t>Cada requisito está alinhado às regras de negócio da proposta?</t>
  </si>
  <si>
    <t>Auditor de QA:</t>
  </si>
  <si>
    <t>O diagrama contém no mínimo 30 componentes?</t>
  </si>
  <si>
    <t xml:space="preserve">SIM </t>
  </si>
  <si>
    <t>O diagrama contém no máximo 35 componentes?</t>
  </si>
  <si>
    <t>NÃO</t>
  </si>
  <si>
    <t>Todos os componentes possuem ao menos uma conexão  com outro componente?</t>
  </si>
  <si>
    <t>NÃO SE APLICA</t>
  </si>
  <si>
    <t>Data:</t>
  </si>
  <si>
    <t>As conexões entre componentes usam os elementos de interface quando aplicável?</t>
  </si>
  <si>
    <t>Tempo total:</t>
  </si>
  <si>
    <t>As conexões usam corretamente relações de dependência quando aplicável?</t>
  </si>
  <si>
    <t>Os elementos do diagrama estão organizados em pacotes?</t>
  </si>
  <si>
    <t>Cada componente está alocado dentro de algum pacote?</t>
  </si>
  <si>
    <t>Estereótipos UML foram utilizados nos elementos que exigem semântica adicional?</t>
  </si>
  <si>
    <t>Há uma explicação técnica escrita sobre a organização em pacotes?</t>
  </si>
  <si>
    <t>O documento apresenta uma análise crítica sobre as dificuldades enfrentadas pelo grupo?</t>
  </si>
  <si>
    <t>O documento identifica desafios conceituais específicos?</t>
  </si>
  <si>
    <t>O documento descreve pelo menos uma decisão de modelagem tomada pelo grupo?</t>
  </si>
  <si>
    <t>Todo o conteúdo exigido está consolidado em um único arquivo PDF?</t>
  </si>
  <si>
    <t>O documento segue a ordem das 5 seções exigidas na especificação?</t>
  </si>
  <si>
    <t>O documento está livre de erros de formatação?</t>
  </si>
  <si>
    <t>O documento está livre de requisitos funcionais repetidos?</t>
  </si>
  <si>
    <t>O documento possui o diagrama de componentes anexado?</t>
  </si>
  <si>
    <t>O documento possui o diagrama de pacotes anexado?</t>
  </si>
  <si>
    <t>A imagem do diagrama de componentes está em alta resolução?</t>
  </si>
  <si>
    <t>A imagem do diagrama de pacotes está em alta resolução?</t>
  </si>
  <si>
    <t>Há uma explicação técnica sobre o diagrama de componentes?</t>
  </si>
  <si>
    <t>10min</t>
  </si>
  <si>
    <t>20min</t>
  </si>
  <si>
    <t>30min</t>
  </si>
  <si>
    <t>40min</t>
  </si>
  <si>
    <t>Média</t>
  </si>
  <si>
    <t xml:space="preserve">Descrição da avalição </t>
  </si>
  <si>
    <t>Total de perguntas</t>
  </si>
  <si>
    <t xml:space="preserve">Total </t>
  </si>
  <si>
    <t>Sim</t>
  </si>
  <si>
    <t>Não</t>
  </si>
  <si>
    <t xml:space="preserve">Não Aplicável </t>
  </si>
  <si>
    <t>Porcentagem de aderência</t>
  </si>
  <si>
    <t>Nível da NC</t>
  </si>
  <si>
    <t>Bianca França e Mariana Schnneider</t>
  </si>
  <si>
    <t>A avaliação consistirá na auditoria do documento de Especificação do Projeto Design de Software (sistema CareSync), utilizando um checklist de qualidade para verificar a conformidade dos requisitos formais, da lista de requisitos funcionais e da modelagem de componentes/pacotes. Além disso, o processo visa identificar possíveis Não Conformidades (NCs) para direcionar as ações corretivas necessárias e assegurar o atendimento completo ao template exigido.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</si>
</sst>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0"/>
      <name val="Aptos Narrow (Corps)"/>
    </font>
    <font>
      <b/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88E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0E733"/>
        <bgColor indexed="64"/>
      </patternFill>
    </fill>
    <fill>
      <patternFill patternType="solid">
        <fgColor rgb="FFD4FFC3"/>
        <bgColor indexed="64"/>
      </patternFill>
    </fill>
    <fill>
      <patternFill patternType="solid">
        <fgColor rgb="FF8BCF8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9" borderId="1" xfId="0" applyFont="1" applyFill="1" applyBorder="1"/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8" fillId="8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top"/>
    </xf>
    <xf numFmtId="0" fontId="8" fillId="8" borderId="4" xfId="0" applyFont="1" applyFill="1" applyBorder="1"/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/>
    <xf numFmtId="0" fontId="2" fillId="0" borderId="0" xfId="0" applyFont="1" applyFill="1" applyBorder="1"/>
    <xf numFmtId="1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vertical="center"/>
    </xf>
    <xf numFmtId="0" fontId="8" fillId="0" borderId="2" xfId="0" applyFont="1" applyBorder="1" applyAlignment="1">
      <alignment horizontal="center"/>
    </xf>
    <xf numFmtId="0" fontId="0" fillId="8" borderId="4" xfId="0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4" xfId="0" applyBorder="1"/>
    <xf numFmtId="0" fontId="8" fillId="12" borderId="4" xfId="0" applyFont="1" applyFill="1" applyBorder="1" applyAlignment="1">
      <alignment wrapText="1"/>
    </xf>
    <xf numFmtId="0" fontId="8" fillId="12" borderId="4" xfId="0" applyFont="1" applyFill="1" applyBorder="1"/>
    <xf numFmtId="0" fontId="8" fillId="11" borderId="4" xfId="0" applyFont="1" applyFill="1" applyBorder="1" applyAlignment="1">
      <alignment wrapText="1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10" fontId="0" fillId="4" borderId="4" xfId="0" applyNumberFormat="1" applyFill="1" applyBorder="1"/>
    <xf numFmtId="0" fontId="1" fillId="6" borderId="3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8" borderId="5" xfId="0" applyFont="1" applyFill="1" applyBorder="1" applyAlignment="1">
      <alignment horizontal="right" vertical="center"/>
    </xf>
    <xf numFmtId="0" fontId="3" fillId="8" borderId="13" xfId="0" applyFont="1" applyFill="1" applyBorder="1" applyAlignment="1">
      <alignment horizontal="center" vertical="center"/>
    </xf>
    <xf numFmtId="0" fontId="0" fillId="8" borderId="6" xfId="0" applyFill="1" applyBorder="1" applyAlignment="1">
      <alignment vertical="center"/>
    </xf>
    <xf numFmtId="0" fontId="0" fillId="8" borderId="4" xfId="0" applyFill="1" applyBorder="1" applyAlignment="1">
      <alignment horizontal="center"/>
    </xf>
    <xf numFmtId="14" fontId="0" fillId="8" borderId="4" xfId="0" applyNumberFormat="1" applyFill="1" applyBorder="1" applyAlignment="1">
      <alignment horizontal="center"/>
    </xf>
    <xf numFmtId="0" fontId="0" fillId="8" borderId="4" xfId="0" applyFill="1" applyBorder="1" applyAlignment="1">
      <alignment horizontal="center" wrapText="1"/>
    </xf>
    <xf numFmtId="0" fontId="5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20" fontId="0" fillId="0" borderId="4" xfId="0" applyNumberFormat="1" applyFill="1" applyBorder="1"/>
    <xf numFmtId="0" fontId="0" fillId="0" borderId="4" xfId="0" applyFill="1" applyBorder="1"/>
    <xf numFmtId="0" fontId="0" fillId="0" borderId="4" xfId="0" applyFill="1" applyBorder="1" applyAlignment="1">
      <alignment vertical="center" wrapText="1"/>
    </xf>
    <xf numFmtId="14" fontId="0" fillId="0" borderId="4" xfId="0" applyNumberFormat="1" applyFill="1" applyBorder="1" applyAlignment="1">
      <alignment wrapText="1"/>
    </xf>
    <xf numFmtId="0" fontId="7" fillId="0" borderId="4" xfId="0" applyFont="1" applyFill="1" applyBorder="1"/>
    <xf numFmtId="0" fontId="6" fillId="0" borderId="4" xfId="0" applyFont="1" applyFill="1" applyBorder="1"/>
    <xf numFmtId="0" fontId="8" fillId="0" borderId="4" xfId="0" applyFont="1" applyFill="1" applyBorder="1"/>
  </cellXfs>
  <cellStyles count="1">
    <cellStyle name="Normal" xfId="0" builtinId="0"/>
  </cellStyles>
  <dxfs count="10">
    <dxf>
      <font>
        <color theme="1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9E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2060"/>
        </patternFill>
      </fill>
    </dxf>
  </dxfs>
  <tableStyles count="0" defaultTableStyle="TableStyleMedium2" defaultPivotStyle="PivotStyleLight16"/>
  <colors>
    <mruColors>
      <color rgb="FF8BCF8A"/>
      <color rgb="FFD4FFC3"/>
      <color rgb="FF80E733"/>
      <color rgb="FFFF9E01"/>
      <color rgb="FFF88E24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5D0C-7208-4838-8A0F-8657B7B082B6}">
  <sheetPr>
    <pageSetUpPr fitToPage="1"/>
  </sheetPr>
  <dimension ref="A1:S44"/>
  <sheetViews>
    <sheetView tabSelected="1" zoomScale="50" zoomScaleNormal="91" workbookViewId="0">
      <selection activeCell="I36" sqref="I36:I37"/>
    </sheetView>
  </sheetViews>
  <sheetFormatPr baseColWidth="10" defaultColWidth="8.83203125" defaultRowHeight="15"/>
  <cols>
    <col min="1" max="1" width="5.1640625" customWidth="1"/>
    <col min="2" max="2" width="41.5" customWidth="1"/>
    <col min="3" max="3" width="11.5" customWidth="1"/>
    <col min="4" max="4" width="12" customWidth="1"/>
    <col min="5" max="5" width="13.83203125" customWidth="1"/>
    <col min="6" max="6" width="15.5" customWidth="1"/>
    <col min="7" max="7" width="12.5" customWidth="1"/>
    <col min="8" max="8" width="16.5" customWidth="1"/>
    <col min="9" max="9" width="50.83203125" customWidth="1"/>
    <col min="10" max="10" width="14" customWidth="1"/>
    <col min="11" max="11" width="15" customWidth="1"/>
    <col min="13" max="13" width="24.5" customWidth="1"/>
    <col min="14" max="15" width="12" customWidth="1"/>
    <col min="16" max="16" width="30.5" customWidth="1"/>
  </cols>
  <sheetData>
    <row r="1" spans="1:19" ht="65.5" customHeight="1">
      <c r="A1" s="45" t="s">
        <v>0</v>
      </c>
      <c r="B1" s="47" t="s">
        <v>1</v>
      </c>
      <c r="C1" s="47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M1" s="33"/>
    </row>
    <row r="2" spans="1:19" ht="16">
      <c r="A2" s="46">
        <v>1</v>
      </c>
      <c r="B2" s="49" t="s">
        <v>11</v>
      </c>
      <c r="C2" s="61"/>
      <c r="D2" s="37"/>
      <c r="E2" s="50"/>
      <c r="F2" s="37"/>
      <c r="G2" s="37"/>
      <c r="H2" s="37"/>
      <c r="I2" s="37"/>
      <c r="J2" s="37"/>
      <c r="K2" s="37"/>
      <c r="M2" s="20"/>
      <c r="N2" s="21"/>
      <c r="O2" s="14"/>
      <c r="P2" s="20"/>
      <c r="Q2" s="20"/>
      <c r="R2" s="14"/>
      <c r="S2" s="14"/>
    </row>
    <row r="3" spans="1:19" ht="32">
      <c r="A3" s="46">
        <v>2</v>
      </c>
      <c r="B3" s="50" t="s">
        <v>14</v>
      </c>
      <c r="C3" s="62"/>
      <c r="D3" s="37"/>
      <c r="E3" s="50"/>
      <c r="F3" s="37"/>
      <c r="G3" s="37"/>
      <c r="H3" s="37"/>
      <c r="I3" s="37"/>
      <c r="J3" s="37"/>
      <c r="K3" s="37"/>
      <c r="M3" s="22"/>
      <c r="N3" s="23"/>
      <c r="O3" s="14"/>
      <c r="P3" s="23"/>
      <c r="Q3" s="24"/>
      <c r="R3" s="14"/>
      <c r="S3" s="14"/>
    </row>
    <row r="4" spans="1:19" ht="16">
      <c r="A4" s="46">
        <v>3</v>
      </c>
      <c r="B4" s="50" t="s">
        <v>15</v>
      </c>
      <c r="C4" s="62"/>
      <c r="D4" s="37"/>
      <c r="E4" s="50"/>
      <c r="F4" s="37"/>
      <c r="G4" s="37"/>
      <c r="H4" s="37"/>
      <c r="I4" s="37"/>
      <c r="J4" s="37"/>
      <c r="K4" s="37"/>
      <c r="M4" s="13"/>
      <c r="N4" s="23"/>
      <c r="O4" s="12"/>
      <c r="P4" s="20"/>
      <c r="Q4" s="20"/>
      <c r="R4" s="14"/>
      <c r="S4" s="14"/>
    </row>
    <row r="5" spans="1:19" ht="32">
      <c r="A5" s="46">
        <v>4</v>
      </c>
      <c r="B5" s="50" t="s">
        <v>17</v>
      </c>
      <c r="C5" s="62"/>
      <c r="D5" s="37"/>
      <c r="E5" s="50"/>
      <c r="F5" s="37"/>
      <c r="G5" s="37"/>
      <c r="H5" s="37"/>
      <c r="I5" s="37"/>
      <c r="J5" s="37"/>
      <c r="K5" s="37"/>
      <c r="M5" s="22"/>
      <c r="N5" s="23"/>
      <c r="O5" s="14"/>
      <c r="P5" s="23"/>
      <c r="Q5" s="24"/>
      <c r="R5" s="14"/>
      <c r="S5" s="14"/>
    </row>
    <row r="6" spans="1:19" ht="16">
      <c r="A6" s="46">
        <v>5</v>
      </c>
      <c r="B6" s="50" t="s">
        <v>18</v>
      </c>
      <c r="C6" s="62"/>
      <c r="D6" s="37"/>
      <c r="E6" s="50"/>
      <c r="F6" s="37"/>
      <c r="G6" s="37"/>
      <c r="H6" s="37"/>
      <c r="I6" s="37"/>
      <c r="J6" s="37"/>
      <c r="K6" s="37"/>
      <c r="M6" s="22"/>
      <c r="N6" s="23"/>
      <c r="O6" s="14"/>
      <c r="P6" s="14"/>
      <c r="Q6" s="14"/>
      <c r="R6" s="14"/>
      <c r="S6" s="14"/>
    </row>
    <row r="7" spans="1:19" ht="16">
      <c r="A7" s="46">
        <v>6</v>
      </c>
      <c r="B7" s="50" t="s">
        <v>20</v>
      </c>
      <c r="C7" s="62"/>
      <c r="D7" s="37"/>
      <c r="E7" s="50"/>
      <c r="F7" s="37"/>
      <c r="G7" s="37"/>
      <c r="H7" s="37"/>
      <c r="I7" s="37"/>
      <c r="J7" s="37"/>
      <c r="K7" s="37"/>
      <c r="M7" s="22"/>
      <c r="N7" s="23"/>
      <c r="O7" s="14"/>
      <c r="P7" s="13"/>
      <c r="Q7" s="14"/>
      <c r="R7" s="14"/>
      <c r="S7" s="14"/>
    </row>
    <row r="8" spans="1:19" ht="32">
      <c r="A8" s="46">
        <v>7</v>
      </c>
      <c r="B8" s="50" t="s">
        <v>22</v>
      </c>
      <c r="C8" s="62"/>
      <c r="D8" s="37"/>
      <c r="E8" s="50"/>
      <c r="F8" s="37"/>
      <c r="G8" s="37"/>
      <c r="H8" s="37"/>
      <c r="I8" s="37"/>
      <c r="J8" s="37"/>
      <c r="K8" s="37"/>
      <c r="M8" s="14"/>
      <c r="N8" s="14"/>
      <c r="O8" s="14"/>
      <c r="P8" s="14"/>
      <c r="Q8" s="14"/>
      <c r="R8" s="14"/>
      <c r="S8" s="14"/>
    </row>
    <row r="9" spans="1:19" ht="32">
      <c r="A9" s="46">
        <v>8</v>
      </c>
      <c r="B9" s="50" t="s">
        <v>23</v>
      </c>
      <c r="C9" s="62"/>
      <c r="D9" s="37"/>
      <c r="E9" s="50"/>
      <c r="F9" s="37"/>
      <c r="G9" s="37"/>
      <c r="H9" s="37"/>
      <c r="I9" s="37"/>
      <c r="J9" s="37"/>
      <c r="K9" s="37"/>
      <c r="M9" s="14"/>
      <c r="N9" s="14"/>
      <c r="O9" s="14"/>
      <c r="P9" s="13"/>
      <c r="Q9" s="25"/>
      <c r="R9" s="25"/>
      <c r="S9" s="25"/>
    </row>
    <row r="10" spans="1:19" ht="32" customHeight="1">
      <c r="A10" s="46">
        <v>9</v>
      </c>
      <c r="B10" s="50" t="s">
        <v>45</v>
      </c>
      <c r="C10" s="62"/>
      <c r="D10" s="37"/>
      <c r="E10" s="50"/>
      <c r="F10" s="37"/>
      <c r="G10" s="37"/>
      <c r="H10" s="37"/>
      <c r="I10" s="37"/>
      <c r="J10" s="37"/>
      <c r="K10" s="37"/>
      <c r="M10" s="26"/>
      <c r="N10" s="14"/>
      <c r="O10" s="14"/>
      <c r="P10" s="27"/>
      <c r="Q10" s="19"/>
      <c r="R10" s="19"/>
      <c r="S10" s="19"/>
    </row>
    <row r="11" spans="1:19" ht="32">
      <c r="A11" s="46">
        <v>10</v>
      </c>
      <c r="B11" s="50" t="s">
        <v>46</v>
      </c>
      <c r="C11" s="61"/>
      <c r="D11" s="63"/>
      <c r="E11" s="62"/>
      <c r="F11" s="64"/>
      <c r="G11" s="65"/>
      <c r="H11" s="62"/>
      <c r="I11" s="64"/>
      <c r="J11" s="66"/>
      <c r="K11" s="62"/>
      <c r="M11" s="13"/>
      <c r="N11" s="14"/>
      <c r="O11" s="14"/>
      <c r="P11" s="27"/>
      <c r="Q11" s="19"/>
      <c r="R11" s="19"/>
      <c r="S11" s="19"/>
    </row>
    <row r="12" spans="1:19" ht="16">
      <c r="A12" s="46">
        <v>11</v>
      </c>
      <c r="B12" s="50" t="s">
        <v>25</v>
      </c>
      <c r="C12" s="61"/>
      <c r="D12" s="64"/>
      <c r="E12" s="62"/>
      <c r="F12" s="64"/>
      <c r="G12" s="64"/>
      <c r="H12" s="64"/>
      <c r="I12" s="64"/>
      <c r="J12" s="64"/>
      <c r="K12" s="64"/>
      <c r="M12" s="22"/>
      <c r="N12" s="14"/>
      <c r="O12" s="14"/>
      <c r="P12" s="27"/>
      <c r="Q12" s="28"/>
      <c r="R12" s="19"/>
      <c r="S12" s="19"/>
    </row>
    <row r="13" spans="1:19" ht="16">
      <c r="A13" s="46">
        <v>12</v>
      </c>
      <c r="B13" s="50" t="s">
        <v>27</v>
      </c>
      <c r="C13" s="61"/>
      <c r="D13" s="64"/>
      <c r="E13" s="62"/>
      <c r="F13" s="64"/>
      <c r="G13" s="64"/>
      <c r="H13" s="64"/>
      <c r="I13" s="64"/>
      <c r="J13" s="64"/>
      <c r="K13" s="64"/>
      <c r="M13" s="29"/>
      <c r="N13" s="12"/>
      <c r="O13" s="12"/>
      <c r="P13" s="30"/>
      <c r="Q13" s="31"/>
      <c r="R13" s="32"/>
      <c r="S13" s="32"/>
    </row>
    <row r="14" spans="1:19" ht="32">
      <c r="A14" s="46">
        <v>13</v>
      </c>
      <c r="B14" s="50" t="s">
        <v>29</v>
      </c>
      <c r="C14" s="61"/>
      <c r="D14" s="64"/>
      <c r="E14" s="62"/>
      <c r="F14" s="64"/>
      <c r="G14" s="64"/>
      <c r="H14" s="64"/>
      <c r="I14" s="64"/>
      <c r="J14" s="64"/>
      <c r="K14" s="64"/>
      <c r="M14" s="12"/>
      <c r="N14" s="12"/>
      <c r="O14" s="12"/>
      <c r="P14" s="30"/>
      <c r="Q14" s="32"/>
      <c r="R14" s="32"/>
      <c r="S14" s="32"/>
    </row>
    <row r="15" spans="1:19" ht="32">
      <c r="A15" s="46">
        <v>14</v>
      </c>
      <c r="B15" s="50" t="s">
        <v>32</v>
      </c>
      <c r="C15" s="61"/>
      <c r="D15" s="64"/>
      <c r="E15" s="62"/>
      <c r="F15" s="64"/>
      <c r="G15" s="64"/>
      <c r="H15" s="64"/>
      <c r="I15" s="64"/>
      <c r="J15" s="64"/>
      <c r="K15" s="64"/>
    </row>
    <row r="16" spans="1:19" ht="32">
      <c r="A16" s="46">
        <v>15</v>
      </c>
      <c r="B16" s="50" t="s">
        <v>34</v>
      </c>
      <c r="C16" s="61"/>
      <c r="D16" s="64"/>
      <c r="E16" s="62"/>
      <c r="F16" s="64"/>
      <c r="G16" s="64"/>
      <c r="H16" s="64"/>
      <c r="I16" s="64"/>
      <c r="J16" s="64"/>
      <c r="K16" s="64"/>
    </row>
    <row r="17" spans="1:11" ht="16">
      <c r="A17" s="46">
        <v>16</v>
      </c>
      <c r="B17" s="50" t="s">
        <v>47</v>
      </c>
      <c r="C17" s="62"/>
      <c r="D17" s="64"/>
      <c r="E17" s="62"/>
      <c r="F17" s="64"/>
      <c r="G17" s="64"/>
      <c r="H17" s="64"/>
      <c r="I17" s="64"/>
      <c r="J17" s="64"/>
      <c r="K17" s="64"/>
    </row>
    <row r="18" spans="1:11" ht="32">
      <c r="A18" s="46">
        <v>17</v>
      </c>
      <c r="B18" s="50" t="s">
        <v>35</v>
      </c>
      <c r="C18" s="62"/>
      <c r="D18" s="64"/>
      <c r="E18" s="62"/>
      <c r="F18" s="64"/>
      <c r="G18" s="64"/>
      <c r="H18" s="64"/>
      <c r="I18" s="64"/>
      <c r="J18" s="64"/>
      <c r="K18" s="64"/>
    </row>
    <row r="19" spans="1:11" ht="32">
      <c r="A19" s="46">
        <v>18</v>
      </c>
      <c r="B19" s="50" t="s">
        <v>36</v>
      </c>
      <c r="C19" s="62"/>
      <c r="D19" s="64"/>
      <c r="E19" s="62"/>
      <c r="F19" s="64"/>
      <c r="G19" s="64"/>
      <c r="H19" s="64"/>
      <c r="I19" s="64"/>
      <c r="J19" s="64"/>
      <c r="K19" s="64"/>
    </row>
    <row r="20" spans="1:11" ht="32">
      <c r="A20" s="46">
        <v>19</v>
      </c>
      <c r="B20" s="50" t="s">
        <v>37</v>
      </c>
      <c r="C20" s="62"/>
      <c r="D20" s="64"/>
      <c r="E20" s="62"/>
      <c r="F20" s="64"/>
      <c r="G20" s="64"/>
      <c r="H20" s="64"/>
      <c r="I20" s="64"/>
      <c r="J20" s="64"/>
      <c r="K20" s="64"/>
    </row>
    <row r="21" spans="1:11" ht="32">
      <c r="A21" s="46">
        <v>20</v>
      </c>
      <c r="B21" s="50" t="s">
        <v>48</v>
      </c>
      <c r="C21" s="61"/>
      <c r="D21" s="64"/>
      <c r="E21" s="62"/>
      <c r="F21" s="64"/>
      <c r="G21" s="64"/>
      <c r="H21" s="64"/>
      <c r="I21" s="64"/>
      <c r="J21" s="64"/>
      <c r="K21" s="64"/>
    </row>
    <row r="22" spans="1:11" ht="32">
      <c r="A22" s="46">
        <v>21</v>
      </c>
      <c r="B22" s="50" t="s">
        <v>49</v>
      </c>
      <c r="C22" s="62"/>
      <c r="D22" s="64"/>
      <c r="E22" s="62"/>
      <c r="F22" s="64"/>
      <c r="G22" s="64"/>
      <c r="H22" s="64"/>
      <c r="I22" s="64"/>
      <c r="J22" s="64"/>
      <c r="K22" s="64"/>
    </row>
    <row r="23" spans="1:11" ht="33" thickBot="1">
      <c r="A23" s="34">
        <v>22</v>
      </c>
      <c r="B23" s="50" t="s">
        <v>38</v>
      </c>
      <c r="C23" s="61"/>
      <c r="D23" s="63"/>
      <c r="E23" s="62"/>
      <c r="F23" s="67"/>
      <c r="G23" s="62"/>
      <c r="H23" s="62"/>
      <c r="I23" s="64"/>
      <c r="J23" s="62"/>
      <c r="K23" s="64"/>
    </row>
    <row r="24" spans="1:11" ht="33" thickBot="1">
      <c r="A24" s="34">
        <v>23</v>
      </c>
      <c r="B24" s="50" t="s">
        <v>50</v>
      </c>
      <c r="C24" s="61"/>
      <c r="D24" s="63"/>
      <c r="E24" s="62"/>
      <c r="F24" s="68"/>
      <c r="G24" s="62"/>
      <c r="H24" s="62"/>
      <c r="I24" s="64"/>
      <c r="J24" s="62"/>
      <c r="K24" s="64"/>
    </row>
    <row r="25" spans="1:11" ht="33" thickBot="1">
      <c r="A25" s="34">
        <v>24</v>
      </c>
      <c r="B25" s="50" t="s">
        <v>39</v>
      </c>
      <c r="C25" s="61"/>
      <c r="D25" s="63"/>
      <c r="E25" s="62"/>
      <c r="F25" s="69"/>
      <c r="G25" s="62"/>
      <c r="H25" s="62"/>
      <c r="I25" s="64"/>
      <c r="J25" s="62"/>
      <c r="K25" s="64"/>
    </row>
    <row r="26" spans="1:11" ht="33" thickBot="1">
      <c r="A26" s="34">
        <v>25</v>
      </c>
      <c r="B26" s="50" t="s">
        <v>40</v>
      </c>
      <c r="C26" s="61"/>
      <c r="D26" s="63"/>
      <c r="E26" s="62"/>
      <c r="F26" s="69"/>
      <c r="G26" s="62"/>
      <c r="H26" s="62"/>
      <c r="I26" s="64"/>
      <c r="J26" s="62"/>
      <c r="K26" s="64"/>
    </row>
    <row r="27" spans="1:11" ht="33" thickBot="1">
      <c r="A27" s="34">
        <v>26</v>
      </c>
      <c r="B27" s="50" t="s">
        <v>41</v>
      </c>
      <c r="C27" s="61"/>
      <c r="D27" s="63"/>
      <c r="E27" s="62"/>
      <c r="F27" s="69"/>
      <c r="G27" s="62"/>
      <c r="H27" s="62"/>
      <c r="I27" s="64"/>
      <c r="J27" s="62"/>
      <c r="K27" s="64"/>
    </row>
    <row r="28" spans="1:11" ht="33" thickBot="1">
      <c r="A28" s="34">
        <v>27</v>
      </c>
      <c r="B28" s="50" t="s">
        <v>42</v>
      </c>
      <c r="C28" s="62"/>
      <c r="D28" s="37"/>
      <c r="E28" s="50"/>
      <c r="F28" s="37"/>
      <c r="G28" s="37"/>
      <c r="H28" s="37"/>
      <c r="I28" s="37"/>
      <c r="J28" s="37"/>
      <c r="K28" s="37"/>
    </row>
    <row r="29" spans="1:11" ht="33" thickBot="1">
      <c r="A29" s="34">
        <v>28</v>
      </c>
      <c r="B29" s="50" t="s">
        <v>43</v>
      </c>
      <c r="C29" s="61"/>
      <c r="D29" s="37"/>
      <c r="E29" s="50"/>
      <c r="F29" s="37"/>
      <c r="G29" s="37"/>
      <c r="H29" s="37"/>
      <c r="I29" s="37"/>
      <c r="J29" s="37"/>
      <c r="K29" s="37"/>
    </row>
    <row r="30" spans="1:11" ht="17" thickBot="1">
      <c r="A30" s="34">
        <v>29</v>
      </c>
      <c r="B30" s="50" t="s">
        <v>44</v>
      </c>
      <c r="C30" s="62"/>
      <c r="D30" s="37"/>
      <c r="E30" s="50"/>
      <c r="F30" s="37"/>
      <c r="G30" s="37"/>
      <c r="H30" s="37"/>
      <c r="I30" s="37"/>
      <c r="J30" s="37"/>
      <c r="K30" s="37"/>
    </row>
    <row r="33" spans="2:14" ht="27" customHeight="1"/>
    <row r="34" spans="2:14" ht="81" customHeight="1">
      <c r="B34" s="55" t="s">
        <v>63</v>
      </c>
      <c r="C34" s="56"/>
      <c r="D34" s="57"/>
      <c r="F34" s="6" t="s">
        <v>2</v>
      </c>
      <c r="H34" s="16" t="s">
        <v>56</v>
      </c>
      <c r="I34" s="35" t="s">
        <v>65</v>
      </c>
      <c r="J34" s="14"/>
      <c r="K34" s="14"/>
      <c r="L34" s="14"/>
      <c r="M34" s="14"/>
      <c r="N34" s="14"/>
    </row>
    <row r="35" spans="2:14" ht="48">
      <c r="B35" s="52" t="s">
        <v>12</v>
      </c>
      <c r="C35" s="53">
        <f>COUNTIF($F$2:$F$28,"Advertencia")</f>
        <v>0</v>
      </c>
      <c r="D35" s="54"/>
      <c r="F35" s="3" t="s">
        <v>26</v>
      </c>
      <c r="H35" s="17" t="s">
        <v>24</v>
      </c>
      <c r="I35" s="60" t="s">
        <v>64</v>
      </c>
      <c r="J35" s="12"/>
      <c r="K35" s="12"/>
      <c r="L35" s="12"/>
      <c r="M35" s="12"/>
      <c r="N35" s="12"/>
    </row>
    <row r="36" spans="2:14">
      <c r="B36" s="8" t="s">
        <v>16</v>
      </c>
      <c r="C36" s="7">
        <f>COUNTIF($F$2:$F$28,"Baixa")</f>
        <v>0</v>
      </c>
      <c r="D36" s="1" t="s">
        <v>51</v>
      </c>
      <c r="F36" s="4" t="s">
        <v>28</v>
      </c>
      <c r="H36" s="18" t="s">
        <v>31</v>
      </c>
      <c r="I36" s="59"/>
      <c r="J36" s="12"/>
      <c r="K36" s="12"/>
      <c r="L36" s="12"/>
      <c r="M36" s="12"/>
      <c r="N36" s="12"/>
    </row>
    <row r="37" spans="2:14">
      <c r="B37" s="9" t="s">
        <v>55</v>
      </c>
      <c r="C37" s="7">
        <f>COUNTIF($F$2:$F$28,"Media")</f>
        <v>0</v>
      </c>
      <c r="D37" s="2" t="s">
        <v>52</v>
      </c>
      <c r="F37" s="5" t="s">
        <v>30</v>
      </c>
      <c r="H37" s="18" t="s">
        <v>33</v>
      </c>
      <c r="I37" s="58"/>
      <c r="J37" s="12"/>
      <c r="K37" s="12"/>
      <c r="L37" s="12"/>
      <c r="M37" s="12"/>
      <c r="N37" s="12"/>
    </row>
    <row r="38" spans="2:14">
      <c r="B38" s="4" t="s">
        <v>19</v>
      </c>
      <c r="C38" s="7">
        <f>COUNTIF($F$2:$F$28,"Alta")</f>
        <v>0</v>
      </c>
      <c r="D38" s="2" t="s">
        <v>53</v>
      </c>
      <c r="H38" s="19"/>
      <c r="I38" s="19"/>
      <c r="K38" s="12"/>
      <c r="L38" s="12"/>
      <c r="M38" s="13"/>
      <c r="N38" s="14"/>
    </row>
    <row r="39" spans="2:14">
      <c r="B39" s="10" t="s">
        <v>21</v>
      </c>
      <c r="C39" s="7">
        <f>COUNTIF($F$2:$F$28,"Urgente")</f>
        <v>0</v>
      </c>
      <c r="D39" s="2" t="s">
        <v>54</v>
      </c>
      <c r="H39" s="36"/>
      <c r="I39" s="19"/>
      <c r="K39" s="14"/>
      <c r="L39" s="14"/>
      <c r="M39" s="15"/>
      <c r="N39" s="12"/>
    </row>
    <row r="40" spans="2:14">
      <c r="K40" s="12"/>
      <c r="L40" s="12"/>
      <c r="M40" s="12"/>
      <c r="N40" s="12"/>
    </row>
    <row r="42" spans="2:14">
      <c r="D42" s="41"/>
      <c r="E42" s="42"/>
      <c r="F42" s="43" t="s">
        <v>13</v>
      </c>
      <c r="G42" s="42"/>
      <c r="H42" s="44"/>
    </row>
    <row r="43" spans="2:14" ht="32">
      <c r="D43" s="38" t="s">
        <v>57</v>
      </c>
      <c r="E43" s="39" t="s">
        <v>59</v>
      </c>
      <c r="F43" s="39" t="s">
        <v>60</v>
      </c>
      <c r="G43" s="39" t="s">
        <v>61</v>
      </c>
      <c r="H43" s="38" t="s">
        <v>62</v>
      </c>
    </row>
    <row r="44" spans="2:14" ht="16">
      <c r="C44" s="40" t="s">
        <v>58</v>
      </c>
      <c r="D44" s="37"/>
      <c r="E44" s="37"/>
      <c r="F44" s="37"/>
      <c r="G44" s="37"/>
      <c r="H44" s="51"/>
    </row>
  </sheetData>
  <mergeCells count="5">
    <mergeCell ref="P10:P12"/>
    <mergeCell ref="P10:P12"/>
    <mergeCell ref="Q13:S13"/>
    <mergeCell ref="Q14:S14"/>
    <mergeCell ref="Q9:S9"/>
  </mergeCells>
  <conditionalFormatting sqref="C2:C23">
    <cfRule type="expression" dxfId="9" priority="3">
      <formula>$M$13</formula>
    </cfRule>
    <cfRule type="expression" dxfId="8" priority="4">
      <formula>$M$12</formula>
    </cfRule>
    <cfRule type="expression" dxfId="7" priority="5">
      <formula>$M$11</formula>
    </cfRule>
  </conditionalFormatting>
  <conditionalFormatting sqref="F2:F23">
    <cfRule type="expression" dxfId="6" priority="1">
      <formula>F2="Advertencia"</formula>
    </cfRule>
    <cfRule type="expression" dxfId="5" priority="2">
      <formula>$M$3</formula>
    </cfRule>
    <cfRule type="expression" dxfId="4" priority="6">
      <formula>F2="Urgente"</formula>
    </cfRule>
    <cfRule type="expression" dxfId="3" priority="7">
      <formula>F2="Alta"</formula>
    </cfRule>
    <cfRule type="expression" dxfId="2" priority="8">
      <formula>F2="Media"</formula>
    </cfRule>
    <cfRule type="expression" dxfId="1" priority="9">
      <formula>F2="Baixa"</formula>
    </cfRule>
    <cfRule type="expression" dxfId="0" priority="10">
      <formula>F2="Advertência"</formula>
    </cfRule>
  </conditionalFormatting>
  <dataValidations count="2">
    <dataValidation type="list" allowBlank="1" showInputMessage="1" showErrorMessage="1" sqref="F2:F23" xr:uid="{B46EF8E7-EE31-49AA-965C-F08671DE9770}">
      <formula1>$M$3:$M$7</formula1>
    </dataValidation>
    <dataValidation type="list" allowBlank="1" showInputMessage="1" showErrorMessage="1" sqref="C2:C23" xr:uid="{434B7B3A-CEBC-47EA-B333-9DC983DA4305}">
      <formula1>$M$11:$M$13</formula1>
    </dataValidation>
  </dataValidations>
  <pageMargins left="0.511811024" right="0.511811024" top="0.78740157499999996" bottom="0.78740157499999996" header="0.31496062000000002" footer="0.31496062000000002"/>
  <pageSetup paperSize="9" scale="39" orientation="landscape" r:id="rId1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Nonalaya</dc:creator>
  <cp:keywords/>
  <dc:description/>
  <cp:lastModifiedBy>Bianca Franca Oliveira</cp:lastModifiedBy>
  <cp:revision/>
  <cp:lastPrinted>2026-09-10T00:27:04Z</cp:lastPrinted>
  <dcterms:created xsi:type="dcterms:W3CDTF">2026-09-01T11:57:15Z</dcterms:created>
  <dcterms:modified xsi:type="dcterms:W3CDTF">2026-09-10T00:47:33Z</dcterms:modified>
  <cp:category/>
  <cp:contentStatus/>
</cp:coreProperties>
</file>