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josue.nonalaya\Documents\"/>
    </mc:Choice>
  </mc:AlternateContent>
  <xr:revisionPtr revIDLastSave="0" documentId="8_{64EA6D35-161C-4015-8B2F-0C92BEC34692}" xr6:coauthVersionLast="47" xr6:coauthVersionMax="47" xr10:uidLastSave="{00000000-0000-0000-0000-000000000000}"/>
  <bookViews>
    <workbookView xWindow="-108" yWindow="-108" windowWidth="23256" windowHeight="12456" xr2:uid="{E2F7F01F-D00C-4572-A69A-F57145CBDE32}"/>
  </bookViews>
  <sheets>
    <sheet name="Planilha1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7" i="1" l="1"/>
  <c r="N3" i="1"/>
  <c r="N4" i="1"/>
  <c r="N6" i="1"/>
  <c r="N5" i="1"/>
  <c r="P5" i="1"/>
</calcChain>
</file>

<file path=xl/sharedStrings.xml><?xml version="1.0" encoding="utf-8"?>
<sst xmlns="http://schemas.openxmlformats.org/spreadsheetml/2006/main" count="63" uniqueCount="60">
  <si>
    <t>Nº</t>
  </si>
  <si>
    <t>Descrição</t>
  </si>
  <si>
    <t>Resultado</t>
  </si>
  <si>
    <t>Data e Hora
da
Identificação
da NC</t>
  </si>
  <si>
    <t>Responsavel
pela
resolução</t>
  </si>
  <si>
    <t>Clasificação
da NCF</t>
  </si>
  <si>
    <t>Ação 
corretiva
indicada</t>
  </si>
  <si>
    <t>Data
prevista da
resolução</t>
  </si>
  <si>
    <t>Data e hora do 
Escalonamento</t>
  </si>
  <si>
    <t>Data e 
Hora da conclusão
da NC</t>
  </si>
  <si>
    <t>Status da NC</t>
  </si>
  <si>
    <t>O documento apresenta o nome da equipe?</t>
  </si>
  <si>
    <t>Advertencia</t>
  </si>
  <si>
    <t>Nº total de NCF</t>
  </si>
  <si>
    <t>CF Não aplicáveis nesta avaliação</t>
  </si>
  <si>
    <t>Aderência</t>
  </si>
  <si>
    <t>O documento lista o nome completo de todos os integrantes que participaram do trabalho?</t>
  </si>
  <si>
    <t>0-60%</t>
  </si>
  <si>
    <t>O documento descreve o tema da aplicação?</t>
  </si>
  <si>
    <t>Baixa</t>
  </si>
  <si>
    <t>Nº de pontos avaliação</t>
  </si>
  <si>
    <t>61-90%</t>
  </si>
  <si>
    <t>O documento explica o problema que o sistema se propõe a resolver?</t>
  </si>
  <si>
    <t>Media</t>
  </si>
  <si>
    <t>91-100%</t>
  </si>
  <si>
    <t>O documento apresenta os objetivos do sistema?</t>
  </si>
  <si>
    <t>Alta</t>
  </si>
  <si>
    <t>A lista de requisitos funcionais está numerada?</t>
  </si>
  <si>
    <t>Urgente</t>
  </si>
  <si>
    <t>Aderencia no Processo:</t>
  </si>
  <si>
    <t>O documento possui aproximadamente 20 requisitos funcionais?</t>
  </si>
  <si>
    <t>Cada requisito está alinhado às regras de negócio da proposta?</t>
  </si>
  <si>
    <t>Descriçao da Avaliação:</t>
  </si>
  <si>
    <t>O documento possui requisitos funcionais repetidos?</t>
  </si>
  <si>
    <t>Auditor de QA:</t>
  </si>
  <si>
    <t>Josue Nonalaya
Bianca França
Mariana Schneider</t>
  </si>
  <si>
    <t>O diagrama contém no mínimo 30 componentes?</t>
  </si>
  <si>
    <t xml:space="preserve">SIM </t>
  </si>
  <si>
    <t>O diagrama contém no máximo 35 componentes?</t>
  </si>
  <si>
    <t>NÃO</t>
  </si>
  <si>
    <t>Todos os componentes possuem ao menos uma conexão  com outro componente?</t>
  </si>
  <si>
    <t>NÃO SE APLICA</t>
  </si>
  <si>
    <t>Data:</t>
  </si>
  <si>
    <t>As conexões entre componentes usam os elementos de interface quando aplicável?</t>
  </si>
  <si>
    <t>Tempo total:</t>
  </si>
  <si>
    <t>As conexões usam corretamente relações de dependência quando aplicável?</t>
  </si>
  <si>
    <t>Os elementos do diagrama estão organizados em pacotes?</t>
  </si>
  <si>
    <t>Cada componente está alocado dentro de algum pacote?</t>
  </si>
  <si>
    <t>Estereótipos UML foram utilizados nos elementos que exigem semântica adicional?</t>
  </si>
  <si>
    <t>Elementos não-componentes foram representados quando aplicável ao domínio do sistema?</t>
  </si>
  <si>
    <t>A imagem do diagrama está em alta resolução?</t>
  </si>
  <si>
    <t>Há uma explicação técnica escrita sobre a organização em pacotes?</t>
  </si>
  <si>
    <t>Há uma explicação técnica escrita sobre as interfaces?</t>
  </si>
  <si>
    <t>Há uma explicação técnica escrita sobre as dependências entre componentes?</t>
  </si>
  <si>
    <t>O documento apresenta uma análise crítica sobre as dificuldades enfrentadas pelo grupo?</t>
  </si>
  <si>
    <t>O documento identifica desafios conceituais específicos?</t>
  </si>
  <si>
    <t>O documento descreve pelo menos uma decisão de modelagem tomada pelo grupo?</t>
  </si>
  <si>
    <t>Todo o conteúdo exigido está consolidado em um único arquivo PDF?</t>
  </si>
  <si>
    <t>O documento segue a ordem das 5 seções exigidas na especificação?</t>
  </si>
  <si>
    <t>O documento está livre de erros de formatação?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</si>
</sst>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88E2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80E73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8" borderId="4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1" fillId="9" borderId="4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7" borderId="6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4" xfId="0" applyFont="1" applyBorder="1"/>
    <xf numFmtId="0" fontId="2" fillId="0" borderId="6" xfId="0" applyFont="1" applyBorder="1"/>
    <xf numFmtId="0" fontId="3" fillId="10" borderId="3" xfId="0" applyFont="1" applyFill="1" applyBorder="1" applyAlignment="1">
      <alignment horizontal="center" vertical="center"/>
    </xf>
    <xf numFmtId="0" fontId="1" fillId="11" borderId="0" xfId="0" applyFont="1" applyFill="1"/>
    <xf numFmtId="0" fontId="1" fillId="4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4" xfId="0" applyFont="1" applyBorder="1" applyAlignment="1">
      <alignment vertical="top"/>
    </xf>
    <xf numFmtId="0" fontId="4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wrapText="1"/>
    </xf>
    <xf numFmtId="0" fontId="0" fillId="0" borderId="12" xfId="0" applyBorder="1"/>
    <xf numFmtId="0" fontId="0" fillId="0" borderId="13" xfId="0" applyBorder="1" applyAlignment="1">
      <alignment wrapText="1"/>
    </xf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wrapText="1"/>
    </xf>
    <xf numFmtId="0" fontId="0" fillId="0" borderId="17" xfId="0" applyBorder="1"/>
  </cellXfs>
  <cellStyles count="1">
    <cellStyle name="Normal" xfId="0" builtinId="0"/>
  </cellStyles>
  <dxfs count="10"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color theme="1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9E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80E733"/>
      <color rgb="FFFF9E01"/>
      <color rgb="FFF88E24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5D0C-7208-4838-8A0F-8657B7B082B6}">
  <dimension ref="A1:S30"/>
  <sheetViews>
    <sheetView tabSelected="1" topLeftCell="D1" zoomScale="119" workbookViewId="0">
      <selection activeCell="N9" sqref="N9"/>
    </sheetView>
  </sheetViews>
  <sheetFormatPr defaultRowHeight="13.9"/>
  <cols>
    <col min="1" max="1" width="5.140625" customWidth="1"/>
    <col min="2" max="2" width="41.42578125" customWidth="1"/>
    <col min="3" max="3" width="11.42578125" customWidth="1"/>
    <col min="4" max="4" width="12" customWidth="1"/>
    <col min="5" max="5" width="13.85546875" customWidth="1"/>
    <col min="6" max="6" width="15.5703125" customWidth="1"/>
    <col min="7" max="7" width="12.5703125" customWidth="1"/>
    <col min="8" max="8" width="14.28515625" customWidth="1"/>
    <col min="9" max="9" width="12.42578125" customWidth="1"/>
    <col min="10" max="10" width="14" customWidth="1"/>
    <col min="11" max="11" width="15" customWidth="1"/>
    <col min="13" max="13" width="24.5703125" customWidth="1"/>
    <col min="14" max="15" width="12" customWidth="1"/>
    <col min="16" max="16" width="30.5703125" customWidth="1"/>
  </cols>
  <sheetData>
    <row r="1" spans="1:19" ht="65.45" customHeight="1" thickBot="1">
      <c r="A1" s="19" t="s">
        <v>0</v>
      </c>
      <c r="B1" s="20" t="s">
        <v>1</v>
      </c>
      <c r="C1" s="20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2" t="s">
        <v>10</v>
      </c>
    </row>
    <row r="2" spans="1:19" ht="15">
      <c r="A2" s="24">
        <v>1</v>
      </c>
      <c r="B2" s="43" t="s">
        <v>11</v>
      </c>
      <c r="C2" s="1"/>
      <c r="D2" s="1"/>
      <c r="E2" s="1"/>
      <c r="F2" s="1" t="s">
        <v>12</v>
      </c>
      <c r="G2" s="1"/>
      <c r="H2" s="1"/>
      <c r="I2" s="1"/>
      <c r="J2" s="1"/>
      <c r="K2" s="23"/>
      <c r="M2" s="5" t="s">
        <v>13</v>
      </c>
      <c r="N2" s="29">
        <v>0</v>
      </c>
      <c r="O2" s="3"/>
      <c r="P2" s="5" t="s">
        <v>14</v>
      </c>
      <c r="Q2" s="6" t="s">
        <v>15</v>
      </c>
      <c r="R2" s="3"/>
      <c r="S2" s="3"/>
    </row>
    <row r="3" spans="1:19" ht="29.25">
      <c r="A3" s="24">
        <v>2</v>
      </c>
      <c r="B3" s="44" t="s">
        <v>16</v>
      </c>
      <c r="C3" s="1"/>
      <c r="D3" s="1"/>
      <c r="E3" s="1"/>
      <c r="F3" s="1" t="s">
        <v>12</v>
      </c>
      <c r="G3" s="1"/>
      <c r="H3" s="1"/>
      <c r="I3" s="1"/>
      <c r="J3" s="1"/>
      <c r="K3" s="23"/>
      <c r="M3" s="14" t="s">
        <v>12</v>
      </c>
      <c r="N3" s="25">
        <f>COUNTIF($F$2:$F$29,"Advertencia")</f>
        <v>2</v>
      </c>
      <c r="O3" s="3"/>
      <c r="P3" s="7">
        <v>0</v>
      </c>
      <c r="Q3" s="8" t="s">
        <v>17</v>
      </c>
      <c r="R3" s="3"/>
      <c r="S3" s="3"/>
    </row>
    <row r="4" spans="1:19" ht="15">
      <c r="A4" s="24">
        <v>3</v>
      </c>
      <c r="B4" s="44" t="s">
        <v>18</v>
      </c>
      <c r="C4" s="1"/>
      <c r="D4" s="1"/>
      <c r="E4" s="1"/>
      <c r="F4" s="1"/>
      <c r="G4" s="1"/>
      <c r="H4" s="1"/>
      <c r="I4" s="1"/>
      <c r="J4" s="1"/>
      <c r="K4" s="23"/>
      <c r="M4" s="15" t="s">
        <v>19</v>
      </c>
      <c r="N4" s="25">
        <f>COUNTIF($F$2:$F$29,"Baixa")</f>
        <v>1</v>
      </c>
      <c r="O4" s="3"/>
      <c r="P4" s="9" t="s">
        <v>20</v>
      </c>
      <c r="Q4" s="10" t="s">
        <v>21</v>
      </c>
      <c r="R4" s="3"/>
      <c r="S4" s="3"/>
    </row>
    <row r="5" spans="1:19" ht="29.25">
      <c r="A5" s="24">
        <v>4</v>
      </c>
      <c r="B5" s="44" t="s">
        <v>22</v>
      </c>
      <c r="C5" s="1"/>
      <c r="D5" s="1"/>
      <c r="E5" s="1"/>
      <c r="F5" s="1" t="s">
        <v>19</v>
      </c>
      <c r="G5" s="1"/>
      <c r="H5" s="1"/>
      <c r="I5" s="1"/>
      <c r="J5" s="1"/>
      <c r="K5" s="23"/>
      <c r="M5" s="16" t="s">
        <v>23</v>
      </c>
      <c r="N5" s="25">
        <f>COUNTIF($F$2:$F$29,"Media")</f>
        <v>0</v>
      </c>
      <c r="O5" s="3"/>
      <c r="P5" s="11">
        <f ca="1">---P5</f>
        <v>0</v>
      </c>
      <c r="Q5" s="12" t="s">
        <v>24</v>
      </c>
      <c r="R5" s="3"/>
      <c r="S5" s="3"/>
    </row>
    <row r="6" spans="1:19" ht="29.25">
      <c r="A6" s="24">
        <v>5</v>
      </c>
      <c r="B6" s="44" t="s">
        <v>25</v>
      </c>
      <c r="C6" s="1"/>
      <c r="D6" s="1"/>
      <c r="E6" s="1"/>
      <c r="F6" s="1"/>
      <c r="G6" s="1"/>
      <c r="H6" s="1"/>
      <c r="I6" s="1"/>
      <c r="J6" s="1"/>
      <c r="K6" s="23"/>
      <c r="M6" s="17" t="s">
        <v>26</v>
      </c>
      <c r="N6" s="25">
        <f>COUNTIF($F$2:$F$29,"Alta")</f>
        <v>0</v>
      </c>
      <c r="O6" s="3"/>
      <c r="P6" s="3"/>
      <c r="Q6" s="3"/>
      <c r="R6" s="3"/>
      <c r="S6" s="3"/>
    </row>
    <row r="7" spans="1:19" ht="15">
      <c r="A7" s="24">
        <v>6</v>
      </c>
      <c r="B7" s="44" t="s">
        <v>27</v>
      </c>
      <c r="C7" s="1"/>
      <c r="D7" s="1"/>
      <c r="E7" s="1"/>
      <c r="F7" s="1"/>
      <c r="G7" s="1"/>
      <c r="H7" s="1"/>
      <c r="I7" s="1"/>
      <c r="J7" s="1"/>
      <c r="K7" s="23"/>
      <c r="M7" s="18" t="s">
        <v>28</v>
      </c>
      <c r="N7" s="26">
        <f>COUNTIF($F$2:$F$29,"Urgente")</f>
        <v>0</v>
      </c>
      <c r="O7" s="3"/>
      <c r="P7" s="4" t="s">
        <v>29</v>
      </c>
      <c r="Q7" s="2"/>
      <c r="R7" s="3"/>
      <c r="S7" s="3"/>
    </row>
    <row r="8" spans="1:19" ht="29.25">
      <c r="A8" s="24">
        <v>7</v>
      </c>
      <c r="B8" s="44" t="s">
        <v>30</v>
      </c>
      <c r="C8" s="1"/>
      <c r="D8" s="1"/>
      <c r="E8" s="1"/>
      <c r="F8" s="1"/>
      <c r="G8" s="1"/>
      <c r="H8" s="1"/>
      <c r="I8" s="1"/>
      <c r="J8" s="1"/>
      <c r="K8" s="23"/>
      <c r="M8" s="3"/>
      <c r="N8" s="3"/>
      <c r="O8" s="3"/>
      <c r="P8" s="3"/>
      <c r="Q8" s="3"/>
      <c r="R8" s="3"/>
      <c r="S8" s="3"/>
    </row>
    <row r="9" spans="1:19" ht="29.25">
      <c r="A9" s="24">
        <v>8</v>
      </c>
      <c r="B9" s="44" t="s">
        <v>31</v>
      </c>
      <c r="C9" s="1"/>
      <c r="D9" s="1"/>
      <c r="E9" s="1"/>
      <c r="F9" s="1"/>
      <c r="G9" s="1"/>
      <c r="H9" s="1"/>
      <c r="I9" s="1"/>
      <c r="J9" s="1"/>
      <c r="K9" s="23"/>
      <c r="M9" s="3"/>
      <c r="N9" s="3"/>
      <c r="O9" s="3"/>
      <c r="P9" s="13" t="s">
        <v>32</v>
      </c>
      <c r="Q9" s="37"/>
      <c r="R9" s="37"/>
      <c r="S9" s="38"/>
    </row>
    <row r="10" spans="1:19" ht="29.25">
      <c r="A10" s="24">
        <v>9</v>
      </c>
      <c r="B10" s="44" t="s">
        <v>33</v>
      </c>
      <c r="C10" s="1"/>
      <c r="D10" s="1"/>
      <c r="E10" s="1"/>
      <c r="F10" s="1"/>
      <c r="G10" s="1"/>
      <c r="H10" s="1"/>
      <c r="I10" s="1"/>
      <c r="J10" s="1"/>
      <c r="K10" s="23"/>
      <c r="M10" s="3"/>
      <c r="N10" s="3"/>
      <c r="O10" s="3"/>
      <c r="P10" s="42" t="s">
        <v>34</v>
      </c>
      <c r="Q10" s="39" t="s">
        <v>35</v>
      </c>
      <c r="R10" s="40"/>
      <c r="S10" s="41"/>
    </row>
    <row r="11" spans="1:19" ht="29.25">
      <c r="A11" s="24">
        <v>10</v>
      </c>
      <c r="B11" s="44" t="s">
        <v>36</v>
      </c>
      <c r="C11" s="1"/>
      <c r="D11" s="1"/>
      <c r="E11" s="1"/>
      <c r="F11" s="1"/>
      <c r="G11" s="1"/>
      <c r="H11" s="1"/>
      <c r="I11" s="1"/>
      <c r="J11" s="1"/>
      <c r="K11" s="23"/>
      <c r="M11" s="32" t="s">
        <v>37</v>
      </c>
      <c r="N11" s="3"/>
      <c r="O11" s="3"/>
      <c r="P11" s="42"/>
      <c r="Q11" s="40"/>
      <c r="R11" s="40"/>
      <c r="S11" s="41"/>
    </row>
    <row r="12" spans="1:19" ht="29.25">
      <c r="A12" s="24">
        <v>11</v>
      </c>
      <c r="B12" s="44" t="s">
        <v>38</v>
      </c>
      <c r="C12" s="1"/>
      <c r="D12" s="1"/>
      <c r="E12" s="1"/>
      <c r="F12" s="1"/>
      <c r="G12" s="1"/>
      <c r="H12" s="1"/>
      <c r="I12" s="1"/>
      <c r="J12" s="1"/>
      <c r="K12" s="23"/>
      <c r="M12" s="31" t="s">
        <v>39</v>
      </c>
      <c r="N12" s="3"/>
      <c r="O12" s="3"/>
      <c r="P12" s="42"/>
      <c r="Q12" s="40"/>
      <c r="R12" s="40"/>
      <c r="S12" s="41"/>
    </row>
    <row r="13" spans="1:19" ht="29.25">
      <c r="A13" s="24">
        <v>12</v>
      </c>
      <c r="B13" s="44" t="s">
        <v>40</v>
      </c>
      <c r="C13" s="1"/>
      <c r="D13" s="1"/>
      <c r="E13" s="1"/>
      <c r="F13" s="1"/>
      <c r="G13" s="1"/>
      <c r="H13" s="1"/>
      <c r="I13" s="1"/>
      <c r="J13" s="1"/>
      <c r="K13" s="23"/>
      <c r="M13" s="30" t="s">
        <v>41</v>
      </c>
      <c r="P13" s="27" t="s">
        <v>42</v>
      </c>
      <c r="Q13" s="33"/>
      <c r="R13" s="33"/>
      <c r="S13" s="34"/>
    </row>
    <row r="14" spans="1:19" ht="29.25">
      <c r="A14" s="24">
        <v>13</v>
      </c>
      <c r="B14" s="44" t="s">
        <v>43</v>
      </c>
      <c r="C14" s="1"/>
      <c r="D14" s="1"/>
      <c r="E14" s="1"/>
      <c r="F14" s="1"/>
      <c r="G14" s="1"/>
      <c r="H14" s="1"/>
      <c r="I14" s="1"/>
      <c r="J14" s="1"/>
      <c r="K14" s="23"/>
      <c r="P14" s="28" t="s">
        <v>44</v>
      </c>
      <c r="Q14" s="35"/>
      <c r="R14" s="35"/>
      <c r="S14" s="36"/>
    </row>
    <row r="15" spans="1:19" ht="29.25">
      <c r="A15" s="24">
        <v>14</v>
      </c>
      <c r="B15" s="44" t="s">
        <v>45</v>
      </c>
      <c r="C15" s="1"/>
      <c r="D15" s="1"/>
      <c r="E15" s="1"/>
      <c r="F15" s="1"/>
      <c r="G15" s="1"/>
      <c r="H15" s="1"/>
      <c r="I15" s="1"/>
      <c r="J15" s="1"/>
      <c r="K15" s="23"/>
    </row>
    <row r="16" spans="1:19" ht="29.25">
      <c r="A16" s="24">
        <v>15</v>
      </c>
      <c r="B16" s="45" t="s">
        <v>46</v>
      </c>
      <c r="C16" s="1"/>
      <c r="D16" s="1"/>
      <c r="E16" s="1"/>
      <c r="F16" s="1"/>
      <c r="G16" s="1"/>
      <c r="H16" s="1"/>
      <c r="I16" s="1"/>
      <c r="J16" s="1"/>
      <c r="K16" s="23"/>
    </row>
    <row r="17" spans="1:11" ht="29.25">
      <c r="A17" s="24">
        <v>16</v>
      </c>
      <c r="B17" s="44" t="s">
        <v>47</v>
      </c>
      <c r="C17" s="1"/>
      <c r="D17" s="1"/>
      <c r="E17" s="1"/>
      <c r="F17" s="1"/>
      <c r="G17" s="1"/>
      <c r="H17" s="1"/>
      <c r="I17" s="1"/>
      <c r="J17" s="1"/>
      <c r="K17" s="23"/>
    </row>
    <row r="18" spans="1:11" ht="29.25">
      <c r="A18" s="24">
        <v>17</v>
      </c>
      <c r="B18" s="44" t="s">
        <v>48</v>
      </c>
      <c r="C18" s="1"/>
      <c r="D18" s="1"/>
      <c r="E18" s="1"/>
      <c r="F18" s="1"/>
      <c r="G18" s="1"/>
      <c r="H18" s="1"/>
      <c r="I18" s="1"/>
      <c r="J18" s="1"/>
      <c r="K18" s="23"/>
    </row>
    <row r="19" spans="1:11" ht="43.5">
      <c r="A19" s="24">
        <v>18</v>
      </c>
      <c r="B19" s="44" t="s">
        <v>49</v>
      </c>
      <c r="C19" s="1"/>
      <c r="D19" s="1"/>
      <c r="E19" s="1"/>
      <c r="F19" s="1"/>
      <c r="G19" s="1"/>
      <c r="H19" s="1"/>
      <c r="I19" s="1"/>
      <c r="J19" s="1"/>
      <c r="K19" s="23"/>
    </row>
    <row r="20" spans="1:11" ht="15">
      <c r="A20" s="24">
        <v>19</v>
      </c>
      <c r="B20" s="44" t="s">
        <v>50</v>
      </c>
      <c r="C20" s="1"/>
      <c r="D20" s="1"/>
      <c r="E20" s="1"/>
      <c r="F20" s="1"/>
      <c r="G20" s="1"/>
      <c r="H20" s="1"/>
      <c r="I20" s="1"/>
      <c r="J20" s="1"/>
      <c r="K20" s="23"/>
    </row>
    <row r="21" spans="1:11" ht="29.25">
      <c r="A21" s="24">
        <v>20</v>
      </c>
      <c r="B21" s="44" t="s">
        <v>51</v>
      </c>
      <c r="C21" s="1"/>
      <c r="D21" s="1"/>
      <c r="E21" s="1"/>
      <c r="F21" s="1"/>
      <c r="G21" s="1"/>
      <c r="H21" s="1"/>
      <c r="I21" s="1"/>
      <c r="J21" s="1"/>
      <c r="K21" s="23"/>
    </row>
    <row r="22" spans="1:11" ht="29.25">
      <c r="A22" s="24">
        <v>21</v>
      </c>
      <c r="B22" s="49" t="s">
        <v>52</v>
      </c>
      <c r="C22" s="1"/>
      <c r="D22" s="1"/>
      <c r="E22" s="1"/>
      <c r="F22" s="1"/>
      <c r="G22" s="1"/>
      <c r="H22" s="1"/>
      <c r="I22" s="1"/>
      <c r="J22" s="1"/>
      <c r="K22" s="23"/>
    </row>
    <row r="23" spans="1:11" ht="29.25">
      <c r="A23" s="48">
        <v>22</v>
      </c>
      <c r="B23" s="46" t="s">
        <v>53</v>
      </c>
      <c r="C23" s="52"/>
      <c r="D23" s="50"/>
      <c r="E23" s="50"/>
      <c r="F23" s="50"/>
      <c r="G23" s="50"/>
      <c r="H23" s="50"/>
      <c r="I23" s="50"/>
      <c r="J23" s="50"/>
      <c r="K23" s="53"/>
    </row>
    <row r="24" spans="1:11" ht="29.25">
      <c r="A24" s="48">
        <v>23</v>
      </c>
      <c r="B24" s="51" t="s">
        <v>54</v>
      </c>
      <c r="C24" s="47"/>
      <c r="D24" s="47"/>
      <c r="E24" s="47"/>
      <c r="F24" s="47"/>
      <c r="G24" s="47"/>
      <c r="H24" s="47"/>
      <c r="I24" s="47"/>
      <c r="J24" s="47"/>
      <c r="K24" s="47"/>
    </row>
    <row r="25" spans="1:11" ht="29.25">
      <c r="A25" s="48">
        <v>24</v>
      </c>
      <c r="B25" s="51" t="s">
        <v>55</v>
      </c>
      <c r="C25" s="47"/>
      <c r="D25" s="47"/>
      <c r="E25" s="47"/>
      <c r="F25" s="47"/>
      <c r="G25" s="47"/>
      <c r="H25" s="47"/>
      <c r="I25" s="47"/>
      <c r="J25" s="47"/>
      <c r="K25" s="47"/>
    </row>
    <row r="26" spans="1:11" ht="29.25">
      <c r="A26" s="48">
        <v>25</v>
      </c>
      <c r="B26" s="54" t="s">
        <v>56</v>
      </c>
      <c r="C26" s="55"/>
      <c r="D26" s="55"/>
      <c r="E26" s="55"/>
      <c r="F26" s="55"/>
      <c r="G26" s="55"/>
      <c r="H26" s="55"/>
      <c r="I26" s="55"/>
      <c r="J26" s="55"/>
      <c r="K26" s="55"/>
    </row>
    <row r="27" spans="1:11" ht="29.25">
      <c r="A27" s="48">
        <v>26</v>
      </c>
      <c r="B27" s="46" t="s">
        <v>57</v>
      </c>
      <c r="C27" s="47"/>
      <c r="D27" s="47"/>
      <c r="E27" s="47"/>
      <c r="F27" s="47"/>
      <c r="G27" s="47"/>
      <c r="H27" s="47"/>
      <c r="I27" s="47"/>
      <c r="J27" s="47"/>
      <c r="K27" s="47"/>
    </row>
    <row r="28" spans="1:11" ht="29.25">
      <c r="A28" s="48">
        <v>27</v>
      </c>
      <c r="B28" s="46" t="s">
        <v>58</v>
      </c>
      <c r="C28" s="47"/>
      <c r="D28" s="47"/>
      <c r="E28" s="47"/>
      <c r="F28" s="47"/>
      <c r="G28" s="47"/>
      <c r="H28" s="47"/>
      <c r="I28" s="47"/>
      <c r="J28" s="47"/>
      <c r="K28" s="47"/>
    </row>
    <row r="29" spans="1:11" ht="15">
      <c r="A29" s="48">
        <v>28</v>
      </c>
      <c r="B29" s="46" t="s">
        <v>59</v>
      </c>
      <c r="C29" s="47"/>
      <c r="D29" s="47"/>
      <c r="E29" s="47"/>
      <c r="F29" s="47"/>
      <c r="G29" s="47"/>
      <c r="H29" s="47"/>
      <c r="I29" s="47"/>
      <c r="J29" s="47"/>
      <c r="K29" s="47"/>
    </row>
    <row r="30" spans="1:11" ht="15"/>
  </sheetData>
  <mergeCells count="5">
    <mergeCell ref="Q13:S13"/>
    <mergeCell ref="Q14:S14"/>
    <mergeCell ref="Q9:S9"/>
    <mergeCell ref="Q10:S12"/>
    <mergeCell ref="P10:P12"/>
  </mergeCells>
  <conditionalFormatting sqref="F2:F23">
    <cfRule type="expression" dxfId="9" priority="1">
      <formula>F2="Advertencia"</formula>
    </cfRule>
    <cfRule type="expression" dxfId="8" priority="2">
      <formula>$M$3</formula>
    </cfRule>
    <cfRule type="expression" dxfId="7" priority="6">
      <formula>F2="Urgente"</formula>
    </cfRule>
    <cfRule type="expression" dxfId="6" priority="7">
      <formula>F2="Alta"</formula>
    </cfRule>
    <cfRule type="expression" dxfId="5" priority="8">
      <formula>F2="Media"</formula>
    </cfRule>
    <cfRule type="expression" dxfId="4" priority="9">
      <formula>F2="Baixa"</formula>
    </cfRule>
    <cfRule type="expression" dxfId="3" priority="10">
      <formula>F2="Advertência"</formula>
    </cfRule>
  </conditionalFormatting>
  <conditionalFormatting sqref="C2:C23">
    <cfRule type="expression" dxfId="2" priority="3">
      <formula>$M$13</formula>
    </cfRule>
    <cfRule type="expression" dxfId="1" priority="4">
      <formula>$M$12</formula>
    </cfRule>
    <cfRule type="expression" dxfId="0" priority="5">
      <formula>$M$11</formula>
    </cfRule>
  </conditionalFormatting>
  <dataValidations count="2">
    <dataValidation type="list" allowBlank="1" showInputMessage="1" showErrorMessage="1" sqref="F2:F23" xr:uid="{B46EF8E7-EE31-49AA-965C-F08671DE9770}">
      <formula1>$M$3:$M$7</formula1>
    </dataValidation>
    <dataValidation type="list" allowBlank="1" showInputMessage="1" showErrorMessage="1" sqref="C2:C23" xr:uid="{434B7B3A-CEBC-47EA-B333-9DC983DA4305}">
      <formula1>$M$11:$M$13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Josue Nonalaya</dc:creator>
  <cp:keywords/>
  <dc:description/>
  <cp:lastModifiedBy/>
  <cp:revision/>
  <dcterms:created xsi:type="dcterms:W3CDTF">2026-09-01T11:57:15Z</dcterms:created>
  <dcterms:modified xsi:type="dcterms:W3CDTF">2026-09-01T23:38:56Z</dcterms:modified>
  <cp:category/>
  <cp:contentStatus/>
</cp:coreProperties>
</file>